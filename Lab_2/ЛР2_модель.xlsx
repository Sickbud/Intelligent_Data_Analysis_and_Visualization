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" sheetId="1" state="visible" r:id="rId3"/>
    <sheet name="Звіт про стійкіст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<sst xmlns="http://schemas.openxmlformats.org/spreadsheetml/2006/main" count="59" uniqueCount="36">
  <si>
    <t xml:space="preserve">ЛР2. Виробнича задача — «Астро-ТВ», варіант 1 (Боднар Денис Васильович, ШІ-33)</t>
  </si>
  <si>
    <t xml:space="preserve">Змінні рішення (обсяг випуску, шт./день)</t>
  </si>
  <si>
    <t xml:space="preserve">Astro</t>
  </si>
  <si>
    <t xml:space="preserve">Cosmo</t>
  </si>
  <si>
    <t xml:space="preserve">Nova</t>
  </si>
  <si>
    <t xml:space="preserve">Vega</t>
  </si>
  <si>
    <t xml:space="preserve">План (для Solver)</t>
  </si>
  <si>
    <t xml:space="preserve">Прибуток з одиниці</t>
  </si>
  <si>
    <t xml:space="preserve">Цільова функція (прибуток за день), максимум</t>
  </si>
  <si>
    <t xml:space="preserve">Витрати ресурсу на одиницю виробу й запас</t>
  </si>
  <si>
    <t xml:space="preserve">Ресурс</t>
  </si>
  <si>
    <t xml:space="preserve">Витрачено (формула)</t>
  </si>
  <si>
    <t xml:space="preserve">Запас</t>
  </si>
  <si>
    <t xml:space="preserve">Конвеєр A, год</t>
  </si>
  <si>
    <t xml:space="preserve">Конвеєр Б, год</t>
  </si>
  <si>
    <t xml:space="preserve">Цех кінескопів, год</t>
  </si>
  <si>
    <t xml:space="preserve">Цех корпусів, год</t>
  </si>
  <si>
    <t xml:space="preserve">Ділянка збирання, год</t>
  </si>
  <si>
    <t xml:space="preserve">Обмеження в Solver: H12:H16 &lt;= I12:I16;  C4:F4 &gt;= 0;  метод: симплекс-метод для лінійних задач</t>
  </si>
  <si>
    <t xml:space="preserve">Пропозиція постачальника (етап 6)</t>
  </si>
  <si>
    <t xml:space="preserve">Ресурс:</t>
  </si>
  <si>
    <t xml:space="preserve">Ціна за одиницю:</t>
  </si>
  <si>
    <t xml:space="preserve">Доступний обсяг:</t>
  </si>
  <si>
    <t xml:space="preserve">Звіт про стійкість (Sensitivity Report) — очікувані значення для звірки з Excel Solver</t>
  </si>
  <si>
    <t xml:space="preserve">Отримано з дуальних значень тієї самої LP-моделі (Python, scipy.optimize.linprog). Запустіть Solver у файлі й переконайтеся, що ваш звіт дає ті самі числа.</t>
  </si>
  <si>
    <t xml:space="preserve">Блок «Обмеження»</t>
  </si>
  <si>
    <t xml:space="preserve">Кінцеве значення</t>
  </si>
  <si>
    <t xml:space="preserve">Тіньова ціна</t>
  </si>
  <si>
    <t xml:space="preserve">Права частина</t>
  </si>
  <si>
    <t xml:space="preserve">Допустиме збільшення</t>
  </si>
  <si>
    <t xml:space="preserve">Допустиме зменшення</t>
  </si>
  <si>
    <t xml:space="preserve">1E+30 (∞)</t>
  </si>
  <si>
    <t xml:space="preserve">Блок «Змінні»</t>
  </si>
  <si>
    <t xml:space="preserve">Виріб</t>
  </si>
  <si>
    <t xml:space="preserve">Зведена вартість</t>
  </si>
  <si>
    <t xml:space="preserve">Цільовий коефіцієнт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</si>
</sst>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customFormat="false" ht="15" hidden="false" customHeight="false" outlineLevel="0" collapsed="false">
      <c r="A4" s="0" t="s">
        <v>6</v>
      </c>
      <c r="C4" s="4" t="n">
        <v>0</v>
      </c>
      <c r="D4" s="4" t="n">
        <v>136.6667</v>
      </c>
      <c r="E4" s="4" t="n">
        <v>57.6667</v>
      </c>
      <c r="F4" s="4" t="n">
        <v>0</v>
      </c>
    </row>
    <row r="6" customFormat="false" ht="15" hidden="false" customHeight="false" outlineLevel="0" collapsed="false">
      <c r="A6" s="2" t="s">
        <v>7</v>
      </c>
      <c r="C6" s="5" t="n">
        <v>21</v>
      </c>
      <c r="D6" s="5" t="n">
        <v>69</v>
      </c>
      <c r="E6" s="5" t="n">
        <v>44</v>
      </c>
      <c r="F6" s="5" t="n">
        <v>39</v>
      </c>
    </row>
    <row r="8" customFormat="false" ht="15" hidden="false" customHeight="false" outlineLevel="0" collapsed="false">
      <c r="A8" s="2" t="s">
        <v>8</v>
      </c>
      <c r="C8" s="6" t="n">
        <f aca="false">SUMPRODUCT(C4:F4,C6:F6)</f>
        <v>11967.3371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3" t="s">
        <v>10</v>
      </c>
      <c r="C11" s="3" t="s">
        <v>2</v>
      </c>
      <c r="D11" s="3" t="s">
        <v>3</v>
      </c>
      <c r="E11" s="3" t="s">
        <v>4</v>
      </c>
      <c r="F11" s="3" t="s">
        <v>5</v>
      </c>
      <c r="H11" s="3" t="s">
        <v>11</v>
      </c>
      <c r="I11" s="3" t="s">
        <v>12</v>
      </c>
    </row>
    <row r="12" customFormat="false" ht="15" hidden="false" customHeight="false" outlineLevel="0" collapsed="false">
      <c r="A12" s="7" t="s">
        <v>13</v>
      </c>
      <c r="C12" s="5" t="n">
        <v>0</v>
      </c>
      <c r="D12" s="5" t="n">
        <v>2</v>
      </c>
      <c r="E12" s="5" t="n">
        <v>1</v>
      </c>
      <c r="F12" s="5" t="n">
        <v>1</v>
      </c>
      <c r="H12" s="7" t="n">
        <f aca="false">SUMPRODUCT(C12:F12,$C$4:$F$4)</f>
        <v>331.0001</v>
      </c>
      <c r="I12" s="5" t="n">
        <v>929</v>
      </c>
    </row>
    <row r="13" customFormat="false" ht="15" hidden="false" customHeight="false" outlineLevel="0" collapsed="false">
      <c r="A13" s="7" t="s">
        <v>14</v>
      </c>
      <c r="C13" s="5" t="n">
        <v>3</v>
      </c>
      <c r="D13" s="5" t="n">
        <v>3</v>
      </c>
      <c r="E13" s="5" t="n">
        <v>0</v>
      </c>
      <c r="F13" s="5" t="n">
        <v>6</v>
      </c>
      <c r="H13" s="7" t="n">
        <f aca="false">SUMPRODUCT(C13:F13,$C$4:$F$4)</f>
        <v>410.0001</v>
      </c>
      <c r="I13" s="5" t="n">
        <v>410</v>
      </c>
    </row>
    <row r="14" customFormat="false" ht="15" hidden="false" customHeight="false" outlineLevel="0" collapsed="false">
      <c r="A14" s="7" t="s">
        <v>15</v>
      </c>
      <c r="C14" s="5" t="n">
        <v>2</v>
      </c>
      <c r="D14" s="5" t="n">
        <v>3</v>
      </c>
      <c r="E14" s="5" t="n">
        <v>0</v>
      </c>
      <c r="F14" s="5" t="n">
        <v>2</v>
      </c>
      <c r="H14" s="7" t="n">
        <f aca="false">SUMPRODUCT(C14:F14,$C$4:$F$4)</f>
        <v>410.0001</v>
      </c>
      <c r="I14" s="5" t="n">
        <v>507</v>
      </c>
    </row>
    <row r="15" customFormat="false" ht="15" hidden="false" customHeight="false" outlineLevel="0" collapsed="false">
      <c r="A15" s="7" t="s">
        <v>16</v>
      </c>
      <c r="C15" s="5" t="n">
        <v>4</v>
      </c>
      <c r="D15" s="5" t="n">
        <v>6</v>
      </c>
      <c r="E15" s="5" t="n">
        <v>0</v>
      </c>
      <c r="F15" s="5" t="n">
        <v>5</v>
      </c>
      <c r="H15" s="7" t="n">
        <f aca="false">SUMPRODUCT(C15:F15,$C$4:$F$4)</f>
        <v>820.0002</v>
      </c>
      <c r="I15" s="5" t="n">
        <v>865</v>
      </c>
    </row>
    <row r="16" customFormat="false" ht="15" hidden="false" customHeight="false" outlineLevel="0" collapsed="false">
      <c r="A16" s="7" t="s">
        <v>17</v>
      </c>
      <c r="C16" s="5" t="n">
        <v>3</v>
      </c>
      <c r="D16" s="5" t="n">
        <v>1</v>
      </c>
      <c r="E16" s="5" t="n">
        <v>5</v>
      </c>
      <c r="F16" s="5" t="n">
        <v>4</v>
      </c>
      <c r="H16" s="7" t="n">
        <f aca="false">SUMPRODUCT(C16:F16,$C$4:$F$4)</f>
        <v>425.0002</v>
      </c>
      <c r="I16" s="5" t="n">
        <v>425</v>
      </c>
    </row>
    <row r="18" customFormat="false" ht="15" hidden="false" customHeight="false" outlineLevel="0" collapsed="false">
      <c r="A18" s="8" t="s">
        <v>18</v>
      </c>
    </row>
    <row r="20" customFormat="false" ht="15" hidden="false" customHeight="false" outlineLevel="0" collapsed="false">
      <c r="A20" s="2" t="s">
        <v>19</v>
      </c>
    </row>
    <row r="21" customFormat="false" ht="15" hidden="false" customHeight="false" outlineLevel="0" collapsed="false">
      <c r="A21" s="0" t="s">
        <v>20</v>
      </c>
      <c r="B21" s="9" t="s">
        <v>14</v>
      </c>
    </row>
    <row r="22" customFormat="false" ht="15" hidden="false" customHeight="false" outlineLevel="0" collapsed="false">
      <c r="A22" s="0" t="s">
        <v>21</v>
      </c>
      <c r="B22" s="9" t="n">
        <v>16.2</v>
      </c>
    </row>
    <row r="23" customFormat="false" ht="15" hidden="false" customHeight="false" outlineLevel="0" collapsed="false">
      <c r="A23" s="0" t="s">
        <v>22</v>
      </c>
      <c r="B23" s="9" t="n">
        <v>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4" min="3" style="0" width="15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0" t="s">
        <v>23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11" t="s">
        <v>24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2" t="s">
        <v>25</v>
      </c>
    </row>
    <row r="5" customFormat="false" ht="15" hidden="false" customHeight="false" outlineLevel="0" collapsed="false">
      <c r="A5" s="12" t="s">
        <v>10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</row>
    <row r="6" customFormat="false" ht="15" hidden="false" customHeight="false" outlineLevel="0" collapsed="false">
      <c r="A6" s="7" t="s">
        <v>13</v>
      </c>
      <c r="B6" s="7" t="n">
        <v>331</v>
      </c>
      <c r="C6" s="7" t="n">
        <v>0</v>
      </c>
      <c r="D6" s="7" t="n">
        <v>929</v>
      </c>
      <c r="E6" s="7" t="s">
        <v>31</v>
      </c>
      <c r="F6" s="7" t="n">
        <v>598</v>
      </c>
    </row>
    <row r="7" customFormat="false" ht="15" hidden="false" customHeight="false" outlineLevel="0" collapsed="false">
      <c r="A7" s="7" t="s">
        <v>14</v>
      </c>
      <c r="B7" s="7" t="n">
        <v>410</v>
      </c>
      <c r="C7" s="7" t="n">
        <v>20.07</v>
      </c>
      <c r="D7" s="7" t="n">
        <v>410</v>
      </c>
      <c r="E7" s="7" t="n">
        <v>22.5</v>
      </c>
      <c r="F7" s="7" t="n">
        <v>410</v>
      </c>
    </row>
    <row r="8" customFormat="false" ht="15" hidden="false" customHeight="false" outlineLevel="0" collapsed="false">
      <c r="A8" s="7" t="s">
        <v>15</v>
      </c>
      <c r="B8" s="7" t="n">
        <v>410</v>
      </c>
      <c r="C8" s="7" t="n">
        <v>0</v>
      </c>
      <c r="D8" s="7" t="n">
        <v>507</v>
      </c>
      <c r="E8" s="7" t="s">
        <v>31</v>
      </c>
      <c r="F8" s="7" t="n">
        <v>97</v>
      </c>
    </row>
    <row r="9" customFormat="false" ht="15" hidden="false" customHeight="false" outlineLevel="0" collapsed="false">
      <c r="A9" s="7" t="s">
        <v>16</v>
      </c>
      <c r="B9" s="7" t="n">
        <v>820</v>
      </c>
      <c r="C9" s="7" t="n">
        <v>0</v>
      </c>
      <c r="D9" s="7" t="n">
        <v>865</v>
      </c>
      <c r="E9" s="7" t="s">
        <v>31</v>
      </c>
      <c r="F9" s="7" t="n">
        <v>45</v>
      </c>
    </row>
    <row r="10" customFormat="false" ht="15" hidden="false" customHeight="false" outlineLevel="0" collapsed="false">
      <c r="A10" s="7" t="s">
        <v>17</v>
      </c>
      <c r="B10" s="7" t="n">
        <v>425</v>
      </c>
      <c r="C10" s="7" t="n">
        <v>8.8</v>
      </c>
      <c r="D10" s="7" t="n">
        <v>425</v>
      </c>
      <c r="E10" s="7" t="n">
        <v>2990</v>
      </c>
      <c r="F10" s="7" t="n">
        <v>288.33</v>
      </c>
    </row>
    <row r="12" customFormat="false" ht="15" hidden="false" customHeight="false" outlineLevel="0" collapsed="false">
      <c r="A12" s="2" t="s">
        <v>32</v>
      </c>
    </row>
    <row r="13" customFormat="false" ht="15" hidden="false" customHeight="false" outlineLevel="0" collapsed="false">
      <c r="A13" s="12" t="s">
        <v>33</v>
      </c>
      <c r="B13" s="12" t="s">
        <v>26</v>
      </c>
      <c r="C13" s="12" t="s">
        <v>34</v>
      </c>
      <c r="D13" s="12" t="s">
        <v>35</v>
      </c>
      <c r="E13" s="12" t="s">
        <v>29</v>
      </c>
      <c r="F13" s="12" t="s">
        <v>30</v>
      </c>
    </row>
    <row r="14" customFormat="false" ht="15" hidden="false" customHeight="false" outlineLevel="0" collapsed="false">
      <c r="A14" s="7" t="s">
        <v>2</v>
      </c>
      <c r="B14" s="7" t="n">
        <v>0</v>
      </c>
      <c r="C14" s="7" t="n">
        <v>-65.6</v>
      </c>
      <c r="D14" s="7" t="n">
        <v>21</v>
      </c>
      <c r="E14" s="7" t="n">
        <v>65.6</v>
      </c>
      <c r="F14" s="7" t="s">
        <v>31</v>
      </c>
    </row>
    <row r="15" customFormat="false" ht="15" hidden="false" customHeight="false" outlineLevel="0" collapsed="false">
      <c r="A15" s="7" t="s">
        <v>3</v>
      </c>
      <c r="B15" s="7" t="n">
        <v>136.67</v>
      </c>
      <c r="C15" s="7" t="n">
        <v>0</v>
      </c>
      <c r="D15" s="7" t="n">
        <v>69</v>
      </c>
      <c r="E15" s="7" t="s">
        <v>31</v>
      </c>
      <c r="F15" s="7" t="n">
        <v>58.33</v>
      </c>
    </row>
    <row r="16" customFormat="false" ht="15" hidden="false" customHeight="false" outlineLevel="0" collapsed="false">
      <c r="A16" s="7" t="s">
        <v>4</v>
      </c>
      <c r="B16" s="7" t="n">
        <v>57.67</v>
      </c>
      <c r="C16" s="7" t="n">
        <v>0</v>
      </c>
      <c r="D16" s="7" t="n">
        <v>44</v>
      </c>
      <c r="E16" s="7" t="n">
        <v>300</v>
      </c>
      <c r="F16" s="7" t="n">
        <v>44</v>
      </c>
    </row>
    <row r="17" customFormat="false" ht="15" hidden="false" customHeight="false" outlineLevel="0" collapsed="false">
      <c r="A17" s="7" t="s">
        <v>5</v>
      </c>
      <c r="B17" s="7" t="n">
        <v>0</v>
      </c>
      <c r="C17" s="7" t="n">
        <v>-116.6</v>
      </c>
      <c r="D17" s="7" t="n">
        <v>39</v>
      </c>
      <c r="E17" s="7" t="n">
        <v>116.6</v>
      </c>
      <c r="F17" s="7" t="s">
        <v>31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2026-09-27T18:46:46Z</dcterms:created>
  <dc:creator>openpyxl</dc:creator>
  <dc:description/>
  <dc:language>en-US</dc:language>
  <cp:lastModifiedBy/>
  <dcterms:modified xsi:type="dcterms:W3CDTF">2026-09-27T18:47:04Z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